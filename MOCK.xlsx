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be1fcd069011fb/Documents/"/>
    </mc:Choice>
  </mc:AlternateContent>
  <xr:revisionPtr revIDLastSave="0" documentId="8_{CE93DC08-1A0C-49BE-9699-4BAF3B55834C}" xr6:coauthVersionLast="47" xr6:coauthVersionMax="47" xr10:uidLastSave="{00000000-0000-0000-0000-000000000000}"/>
  <bookViews>
    <workbookView xWindow="-108" yWindow="-108" windowWidth="23256" windowHeight="12456" xr2:uid="{028750CE-52F0-4A34-AD16-67D074C1E5C4}"/>
  </bookViews>
  <sheets>
    <sheet name="Product_master" sheetId="1" r:id="rId1"/>
    <sheet name="sales_data" sheetId="2" r:id="rId2"/>
    <sheet name="Monthly_tar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J2" i="3"/>
  <c r="K2" i="3"/>
  <c r="H2" i="3"/>
  <c r="G2" i="1"/>
  <c r="H1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G3" i="1"/>
  <c r="G4" i="1"/>
  <c r="G5" i="1"/>
  <c r="G6" i="1"/>
</calcChain>
</file>

<file path=xl/sharedStrings.xml><?xml version="1.0" encoding="utf-8"?>
<sst xmlns="http://schemas.openxmlformats.org/spreadsheetml/2006/main" count="86" uniqueCount="49">
  <si>
    <t>Product ID</t>
  </si>
  <si>
    <t>Product Name</t>
  </si>
  <si>
    <t>Category</t>
  </si>
  <si>
    <t>Price per Unit</t>
  </si>
  <si>
    <t>P001</t>
  </si>
  <si>
    <t>Laptop</t>
  </si>
  <si>
    <t>Electronics</t>
  </si>
  <si>
    <t>P002</t>
  </si>
  <si>
    <t>Smartphone</t>
  </si>
  <si>
    <t>P003</t>
  </si>
  <si>
    <t>Headphones</t>
  </si>
  <si>
    <t>Accessories</t>
  </si>
  <si>
    <t>P004</t>
  </si>
  <si>
    <t>Printer</t>
  </si>
  <si>
    <t>Office Supplies</t>
  </si>
  <si>
    <t>P005</t>
  </si>
  <si>
    <t>Monitor</t>
  </si>
  <si>
    <t>Employee ID</t>
  </si>
  <si>
    <t>Employee Name</t>
  </si>
  <si>
    <t>Region</t>
  </si>
  <si>
    <t>Units Sold</t>
  </si>
  <si>
    <t>Sales Amount</t>
  </si>
  <si>
    <t>E101</t>
  </si>
  <si>
    <t>Rahul Mehta</t>
  </si>
  <si>
    <t>North</t>
  </si>
  <si>
    <t>E102</t>
  </si>
  <si>
    <t>Priya Sharma</t>
  </si>
  <si>
    <t>South</t>
  </si>
  <si>
    <t>E103</t>
  </si>
  <si>
    <t>Aman Verma</t>
  </si>
  <si>
    <t>East</t>
  </si>
  <si>
    <t>E104</t>
  </si>
  <si>
    <t>Sneha Patel</t>
  </si>
  <si>
    <t>West</t>
  </si>
  <si>
    <t>E105</t>
  </si>
  <si>
    <t>Rohan Gupta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</si>
  <si>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</si>
  <si>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</si>
  <si>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</si>
  <si>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</si>
  <si>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</si>
  <si>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</si>
  <si>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</si>
  <si>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</si>
  <si>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</si>
  <si>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</si>
  <si>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Price per unit</t>
  </si>
  <si>
    <t>Total sales Value</t>
  </si>
  <si>
    <t>Target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</si>
</sst>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0" fillId="2" borderId="3" xfId="0" applyFill="1" applyBorder="1"/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6DCB-6762-493E-A60B-5966B0A5A858}">
  <dimension ref="A1:G6"/>
  <sheetViews>
    <sheetView tabSelected="1" workbookViewId="0">
      <selection activeCell="J9" sqref="J9"/>
    </sheetView>
  </sheetViews>
  <sheetFormatPr defaultRowHeight="14.4" x14ac:dyDescent="0.3"/>
  <cols>
    <col min="2" max="2" width="13.77734375" customWidth="1"/>
    <col min="3" max="3" width="10.6640625" customWidth="1"/>
    <col min="4" max="4" width="13.21875" customWidth="1"/>
  </cols>
  <sheetData>
    <row r="1" spans="1:7" ht="27" x14ac:dyDescent="0.3">
      <c r="A1" s="7" t="s">
        <v>0</v>
      </c>
      <c r="B1" s="7" t="s">
        <v>1</v>
      </c>
      <c r="C1" s="7" t="s">
        <v>2</v>
      </c>
      <c r="D1" s="7" t="s">
        <v>3</v>
      </c>
      <c r="F1" s="7" t="s">
        <v>1</v>
      </c>
      <c r="G1" s="7" t="s">
        <v>3</v>
      </c>
    </row>
    <row r="2" spans="1:7" x14ac:dyDescent="0.3">
      <c r="A2" s="8" t="s">
        <v>4</v>
      </c>
      <c r="B2" s="8" t="s">
        <v>5</v>
      </c>
      <c r="C2" s="8" t="s">
        <v>6</v>
      </c>
      <c r="D2" s="9">
        <v>3000</v>
      </c>
      <c r="F2" s="8" t="s">
        <v>5</v>
      </c>
      <c r="G2" s="6">
        <f>VLOOKUP(F2,B2:D6,3,FALSE)</f>
        <v>3000</v>
      </c>
    </row>
    <row r="3" spans="1:7" ht="27" x14ac:dyDescent="0.3">
      <c r="A3" s="8" t="s">
        <v>7</v>
      </c>
      <c r="B3" s="8" t="s">
        <v>8</v>
      </c>
      <c r="C3" s="8" t="s">
        <v>6</v>
      </c>
      <c r="D3" s="9">
        <v>3000</v>
      </c>
      <c r="F3" s="8" t="s">
        <v>8</v>
      </c>
      <c r="G3" s="6">
        <f t="shared" ref="G3:G6" si="0">VLOOKUP(F3,B3:D7,3,FALSE)</f>
        <v>3000</v>
      </c>
    </row>
    <row r="4" spans="1:7" ht="27" x14ac:dyDescent="0.3">
      <c r="A4" s="8" t="s">
        <v>9</v>
      </c>
      <c r="B4" s="8" t="s">
        <v>10</v>
      </c>
      <c r="C4" s="8" t="s">
        <v>11</v>
      </c>
      <c r="D4" s="9">
        <v>3500</v>
      </c>
      <c r="F4" s="8" t="s">
        <v>10</v>
      </c>
      <c r="G4" s="6">
        <f t="shared" si="0"/>
        <v>3500</v>
      </c>
    </row>
    <row r="5" spans="1:7" ht="27" x14ac:dyDescent="0.3">
      <c r="A5" s="8" t="s">
        <v>12</v>
      </c>
      <c r="B5" s="8" t="s">
        <v>13</v>
      </c>
      <c r="C5" s="8" t="s">
        <v>14</v>
      </c>
      <c r="D5" s="9">
        <v>5000</v>
      </c>
      <c r="F5" s="8" t="s">
        <v>13</v>
      </c>
      <c r="G5" s="6">
        <f t="shared" si="0"/>
        <v>5000</v>
      </c>
    </row>
    <row r="6" spans="1:7" x14ac:dyDescent="0.3">
      <c r="A6" s="8" t="s">
        <v>15</v>
      </c>
      <c r="B6" s="8" t="s">
        <v>16</v>
      </c>
      <c r="C6" s="8" t="s">
        <v>6</v>
      </c>
      <c r="D6" s="9">
        <v>4000</v>
      </c>
      <c r="F6" s="8" t="s">
        <v>16</v>
      </c>
      <c r="G6" s="6">
        <f t="shared" si="0"/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465A-2268-4584-ADDE-6786CF90D57B}">
  <dimension ref="A1:H12"/>
  <sheetViews>
    <sheetView workbookViewId="0">
      <selection activeCell="M6" sqref="M6"/>
    </sheetView>
  </sheetViews>
  <sheetFormatPr defaultRowHeight="14.4" x14ac:dyDescent="0.3"/>
  <cols>
    <col min="7" max="7" width="12.21875" customWidth="1"/>
    <col min="8" max="8" width="10.109375" customWidth="1"/>
  </cols>
  <sheetData>
    <row r="1" spans="1:8" ht="40.799999999999997" thickBot="1" x14ac:dyDescent="0.35">
      <c r="A1" s="1" t="s">
        <v>17</v>
      </c>
      <c r="B1" s="1" t="s">
        <v>18</v>
      </c>
      <c r="C1" s="1" t="s">
        <v>19</v>
      </c>
      <c r="D1" s="1" t="s">
        <v>0</v>
      </c>
      <c r="E1" s="1" t="s">
        <v>20</v>
      </c>
      <c r="F1" s="1" t="s">
        <v>21</v>
      </c>
      <c r="G1" s="4" t="s">
        <v>46</v>
      </c>
      <c r="H1" s="4" t="s">
        <v>47</v>
      </c>
    </row>
    <row r="2" spans="1:8" ht="27.6" thickBot="1" x14ac:dyDescent="0.35">
      <c r="A2" s="2" t="s">
        <v>22</v>
      </c>
      <c r="B2" s="2" t="s">
        <v>23</v>
      </c>
      <c r="C2" s="2" t="s">
        <v>24</v>
      </c>
      <c r="D2" s="2" t="s">
        <v>4</v>
      </c>
      <c r="E2" s="3">
        <v>15</v>
      </c>
      <c r="F2" s="3">
        <v>45000</v>
      </c>
      <c r="G2">
        <f>F2/E2</f>
        <v>3000</v>
      </c>
      <c r="H2">
        <f>G2*E2</f>
        <v>45000</v>
      </c>
    </row>
    <row r="3" spans="1:8" ht="27.6" thickBot="1" x14ac:dyDescent="0.35">
      <c r="A3" s="2" t="s">
        <v>25</v>
      </c>
      <c r="B3" s="2" t="s">
        <v>26</v>
      </c>
      <c r="C3" s="2" t="s">
        <v>27</v>
      </c>
      <c r="D3" s="2" t="s">
        <v>7</v>
      </c>
      <c r="E3" s="3">
        <v>20</v>
      </c>
      <c r="F3" s="3">
        <v>60000</v>
      </c>
      <c r="G3">
        <f>F3/E3</f>
        <v>3000</v>
      </c>
      <c r="H3">
        <f t="shared" ref="H3:H11" si="0">G3*E3</f>
        <v>60000</v>
      </c>
    </row>
    <row r="4" spans="1:8" ht="27.6" thickBot="1" x14ac:dyDescent="0.35">
      <c r="A4" s="2" t="s">
        <v>28</v>
      </c>
      <c r="B4" s="2" t="s">
        <v>29</v>
      </c>
      <c r="C4" s="2" t="s">
        <v>30</v>
      </c>
      <c r="D4" s="2" t="s">
        <v>9</v>
      </c>
      <c r="E4" s="3">
        <v>10</v>
      </c>
      <c r="F4" s="3">
        <v>35000</v>
      </c>
      <c r="G4">
        <f>F4/E4</f>
        <v>3500</v>
      </c>
      <c r="H4">
        <f t="shared" si="0"/>
        <v>35000</v>
      </c>
    </row>
    <row r="5" spans="1:8" ht="27.6" thickBot="1" x14ac:dyDescent="0.35">
      <c r="A5" s="2" t="s">
        <v>31</v>
      </c>
      <c r="B5" s="2" t="s">
        <v>32</v>
      </c>
      <c r="C5" s="2" t="s">
        <v>33</v>
      </c>
      <c r="D5" s="2" t="s">
        <v>12</v>
      </c>
      <c r="E5" s="3">
        <v>25</v>
      </c>
      <c r="F5" s="3">
        <v>125000</v>
      </c>
      <c r="G5">
        <f>F5/E5</f>
        <v>5000</v>
      </c>
      <c r="H5">
        <f t="shared" si="0"/>
        <v>125000</v>
      </c>
    </row>
    <row r="6" spans="1:8" ht="27.6" thickBot="1" x14ac:dyDescent="0.35">
      <c r="A6" s="2" t="s">
        <v>34</v>
      </c>
      <c r="B6" s="2" t="s">
        <v>35</v>
      </c>
      <c r="C6" s="2" t="s">
        <v>24</v>
      </c>
      <c r="D6" s="2" t="s">
        <v>15</v>
      </c>
      <c r="E6" s="3">
        <v>12</v>
      </c>
      <c r="F6" s="3">
        <v>48000</v>
      </c>
      <c r="G6">
        <f>F6/E6</f>
        <v>4000</v>
      </c>
      <c r="H6">
        <f t="shared" si="0"/>
        <v>48000</v>
      </c>
    </row>
    <row r="7" spans="1:8" ht="27.6" thickBot="1" x14ac:dyDescent="0.35">
      <c r="A7" s="2" t="s">
        <v>36</v>
      </c>
      <c r="B7" s="2" t="s">
        <v>37</v>
      </c>
      <c r="C7" s="2" t="s">
        <v>30</v>
      </c>
      <c r="D7" s="2" t="s">
        <v>7</v>
      </c>
      <c r="E7" s="3">
        <v>18</v>
      </c>
      <c r="F7" s="3">
        <v>54000</v>
      </c>
      <c r="G7">
        <f>F7/E7</f>
        <v>3000</v>
      </c>
      <c r="H7">
        <f t="shared" si="0"/>
        <v>54000</v>
      </c>
    </row>
    <row r="8" spans="1:8" ht="27.6" thickBot="1" x14ac:dyDescent="0.35">
      <c r="A8" s="2" t="s">
        <v>38</v>
      </c>
      <c r="B8" s="2" t="s">
        <v>39</v>
      </c>
      <c r="C8" s="2" t="s">
        <v>27</v>
      </c>
      <c r="D8" s="2" t="s">
        <v>9</v>
      </c>
      <c r="E8" s="3">
        <v>22</v>
      </c>
      <c r="F8" s="3">
        <v>77000</v>
      </c>
      <c r="G8">
        <f>F8/E8</f>
        <v>3500</v>
      </c>
      <c r="H8">
        <f t="shared" si="0"/>
        <v>77000</v>
      </c>
    </row>
    <row r="9" spans="1:8" ht="27.6" thickBot="1" x14ac:dyDescent="0.35">
      <c r="A9" s="2" t="s">
        <v>40</v>
      </c>
      <c r="B9" s="2" t="s">
        <v>41</v>
      </c>
      <c r="C9" s="2" t="s">
        <v>33</v>
      </c>
      <c r="D9" s="2" t="s">
        <v>4</v>
      </c>
      <c r="E9" s="3">
        <v>30</v>
      </c>
      <c r="F9" s="3">
        <v>90000</v>
      </c>
      <c r="G9">
        <f>F9/E9</f>
        <v>3000</v>
      </c>
      <c r="H9">
        <f t="shared" si="0"/>
        <v>90000</v>
      </c>
    </row>
    <row r="10" spans="1:8" ht="15" thickBot="1" x14ac:dyDescent="0.35">
      <c r="A10" s="2" t="s">
        <v>42</v>
      </c>
      <c r="B10" s="2" t="s">
        <v>43</v>
      </c>
      <c r="C10" s="2" t="s">
        <v>24</v>
      </c>
      <c r="D10" s="2" t="s">
        <v>12</v>
      </c>
      <c r="E10" s="3">
        <v>14</v>
      </c>
      <c r="F10" s="3">
        <v>70000</v>
      </c>
      <c r="G10">
        <f>F10/E10</f>
        <v>5000</v>
      </c>
      <c r="H10">
        <f t="shared" si="0"/>
        <v>70000</v>
      </c>
    </row>
    <row r="11" spans="1:8" ht="27.6" thickBot="1" x14ac:dyDescent="0.35">
      <c r="A11" s="2" t="s">
        <v>44</v>
      </c>
      <c r="B11" s="2" t="s">
        <v>45</v>
      </c>
      <c r="C11" s="2" t="s">
        <v>30</v>
      </c>
      <c r="D11" s="2" t="s">
        <v>15</v>
      </c>
      <c r="E11" s="3">
        <v>8</v>
      </c>
      <c r="F11" s="3">
        <v>32000</v>
      </c>
      <c r="G11">
        <f>F11/E11</f>
        <v>4000</v>
      </c>
      <c r="H11">
        <f t="shared" si="0"/>
        <v>32000</v>
      </c>
    </row>
    <row r="12" spans="1:8" x14ac:dyDescent="0.3">
      <c r="H12">
        <f>SUM(H2:H11)</f>
        <v>636000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0FA1-2B3F-4676-8EE5-3DD735834E15}">
  <dimension ref="A1:K2"/>
  <sheetViews>
    <sheetView workbookViewId="0">
      <selection activeCell="F6" sqref="F6"/>
    </sheetView>
  </sheetViews>
  <sheetFormatPr defaultRowHeight="14.4" x14ac:dyDescent="0.3"/>
  <sheetData>
    <row r="1" spans="1:11" ht="15" thickBot="1" x14ac:dyDescent="0.35">
      <c r="A1" s="1" t="s">
        <v>19</v>
      </c>
      <c r="B1" s="1" t="s">
        <v>24</v>
      </c>
      <c r="C1" s="1" t="s">
        <v>27</v>
      </c>
      <c r="D1" s="1" t="s">
        <v>30</v>
      </c>
      <c r="E1" s="1" t="s">
        <v>33</v>
      </c>
      <c r="G1" s="1" t="s">
        <v>19</v>
      </c>
      <c r="H1" s="1" t="s">
        <v>24</v>
      </c>
      <c r="I1" s="1" t="s">
        <v>27</v>
      </c>
      <c r="J1" s="1" t="s">
        <v>30</v>
      </c>
      <c r="K1" s="1" t="s">
        <v>33</v>
      </c>
    </row>
    <row r="2" spans="1:11" ht="27.6" thickBot="1" x14ac:dyDescent="0.35">
      <c r="A2" s="2" t="s">
        <v>48</v>
      </c>
      <c r="B2" s="3">
        <v>150000</v>
      </c>
      <c r="C2" s="3">
        <v>140000</v>
      </c>
      <c r="D2" s="3">
        <v>120000</v>
      </c>
      <c r="E2" s="3">
        <v>160000</v>
      </c>
      <c r="G2" s="2" t="s">
        <v>48</v>
      </c>
      <c r="H2" s="5">
        <f>HLOOKUP(B1,A1:E2,2,FALSE)</f>
        <v>150000</v>
      </c>
      <c r="I2" s="5">
        <f t="shared" ref="I2:K2" si="0">HLOOKUP(C1,B1:F2,2,FALSE)</f>
        <v>140000</v>
      </c>
      <c r="J2" s="5">
        <f t="shared" si="0"/>
        <v>120000</v>
      </c>
      <c r="K2" s="5">
        <f t="shared" si="0"/>
        <v>160000</v>
      </c>
    </row>
  </sheetData>
  <conditionalFormatting sqref="B2:E2">
    <cfRule type="cellIs" dxfId="0" priority="2" operator="lessThan">
      <formula>140000</formula>
    </cfRule>
    <cfRule type="cellIs" dxfId="1" priority="1" operator="lessThan">
      <formula>140000</formula>
    </cfRule>
  </conditionalFormatting>
  <dataValidations count="1">
    <dataValidation type="list" allowBlank="1" showInputMessage="1" showErrorMessage="1" sqref="B1:E1" xr:uid="{424F70C5-B749-4A6E-9136-33082F921B5E}">
      <formula1>$B$1:$E$1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sales_data</vt:lpstr>
      <vt:lpstr>Monthly_target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aishwaryabetwar9@gmail.com</dc:creator>
  <cp:lastModifiedBy>aishwaryabetwar9@gmail.com</cp:lastModifiedBy>
  <dcterms:created xsi:type="dcterms:W3CDTF">2025-11-01T06:23:26Z</dcterms:created>
  <dcterms:modified xsi:type="dcterms:W3CDTF">2025-11-01T07:36:52Z</dcterms:modified>
</cp:coreProperties>
</file>